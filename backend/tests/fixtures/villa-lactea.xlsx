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47ef3e6539e173/Desktop/inventarios empresas/"/>
    </mc:Choice>
  </mc:AlternateContent>
  <xr:revisionPtr revIDLastSave="423" documentId="8_{AA4148EF-0968-4834-9387-7B582882C7CB}" xr6:coauthVersionLast="47" xr6:coauthVersionMax="47" xr10:uidLastSave="{0131BDFC-E200-4F1D-A80D-84DE35A3A857}"/>
  <bookViews>
    <workbookView xWindow="-108" yWindow="-108" windowWidth="23256" windowHeight="12456" activeTab="3" xr2:uid="{14ED3AD7-A019-4EFB-981E-7E58675B0CC5}"/>
  </bookViews>
  <sheets>
    <sheet name="Facturas del día" sheetId="1" r:id="rId1"/>
    <sheet name="Inventario inicial" sheetId="3" r:id="rId2"/>
    <sheet name="inventario final sem 1" sheetId="6" r:id="rId3"/>
    <sheet name="Inventario inicial sem 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7" l="1"/>
  <c r="F22" i="7"/>
  <c r="E2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3" i="7"/>
  <c r="B18" i="6"/>
  <c r="F18" i="6" s="1"/>
  <c r="B16" i="6"/>
  <c r="B5" i="6"/>
  <c r="F5" i="6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B22" i="3"/>
  <c r="F3" i="3"/>
  <c r="B21" i="6"/>
  <c r="F21" i="6" s="1"/>
  <c r="B20" i="6"/>
  <c r="F20" i="6" s="1"/>
  <c r="B19" i="6"/>
  <c r="F19" i="6" s="1"/>
  <c r="B17" i="6"/>
  <c r="F17" i="6" s="1"/>
  <c r="F16" i="6"/>
  <c r="B15" i="6"/>
  <c r="F15" i="6" s="1"/>
  <c r="B14" i="6"/>
  <c r="F14" i="6" s="1"/>
  <c r="B13" i="6"/>
  <c r="F13" i="6" s="1"/>
  <c r="B12" i="6"/>
  <c r="F12" i="6" s="1"/>
  <c r="B11" i="6"/>
  <c r="F11" i="6" s="1"/>
  <c r="B10" i="6"/>
  <c r="F10" i="6" s="1"/>
  <c r="B9" i="6"/>
  <c r="B8" i="6"/>
  <c r="F8" i="6" s="1"/>
  <c r="B7" i="6"/>
  <c r="F7" i="6" s="1"/>
  <c r="B6" i="6"/>
  <c r="F6" i="6" s="1"/>
  <c r="B4" i="6"/>
  <c r="B3" i="6"/>
  <c r="F3" i="6" s="1"/>
  <c r="F4" i="6"/>
  <c r="F9" i="6"/>
  <c r="F10" i="3"/>
  <c r="F11" i="3"/>
  <c r="F12" i="3"/>
  <c r="F13" i="3"/>
  <c r="F14" i="3"/>
  <c r="F15" i="3"/>
  <c r="F16" i="3"/>
  <c r="F17" i="3"/>
  <c r="F18" i="3"/>
  <c r="F19" i="3"/>
  <c r="F20" i="3"/>
  <c r="F21" i="3"/>
  <c r="F9" i="3"/>
  <c r="F8" i="3"/>
  <c r="F7" i="3"/>
  <c r="F6" i="3"/>
  <c r="F5" i="3"/>
  <c r="F4" i="3"/>
  <c r="D21" i="1"/>
  <c r="D20" i="1"/>
  <c r="D19" i="1"/>
  <c r="D18" i="1"/>
  <c r="D17" i="1"/>
  <c r="D16" i="1"/>
  <c r="D15" i="1"/>
  <c r="D14" i="1"/>
  <c r="D13" i="1"/>
  <c r="D12" i="1"/>
  <c r="E8" i="1"/>
  <c r="B8" i="1"/>
  <c r="C8" i="1" s="1"/>
  <c r="B10" i="1" s="1"/>
  <c r="K10" i="7" l="1"/>
  <c r="K12" i="7" s="1"/>
  <c r="B22" i="7"/>
  <c r="K8" i="7" s="1"/>
  <c r="K9" i="7" s="1"/>
  <c r="B22" i="6"/>
  <c r="I8" i="6" s="1"/>
  <c r="I9" i="6" s="1"/>
  <c r="F22" i="3"/>
  <c r="F22" i="6"/>
  <c r="I10" i="6" s="1"/>
  <c r="I12" i="6" s="1"/>
  <c r="I15" i="6" s="1"/>
</calcChain>
</file>

<file path=xl/sharedStrings.xml><?xml version="1.0" encoding="utf-8"?>
<sst xmlns="http://schemas.openxmlformats.org/spreadsheetml/2006/main" count="162" uniqueCount="50">
  <si>
    <t>VENTAS DE CONSUMIDOR FINAL</t>
  </si>
  <si>
    <t>Monto de la venta</t>
  </si>
  <si>
    <t>TOTAL</t>
  </si>
  <si>
    <t>VENTAS CON CRÉDITO FISCAL</t>
  </si>
  <si>
    <t>TOTAL GENERAL DE VENTAS DEL DÍA</t>
  </si>
  <si>
    <t>CASCADA — INVENTARIO INICIAL DE SEPTIEMBRE DE 2026</t>
  </si>
  <si>
    <t>Ítem/N.º</t>
  </si>
  <si>
    <t>Cantidad</t>
  </si>
  <si>
    <t>Descripción del producto</t>
  </si>
  <si>
    <t>Precio de compra unitario</t>
  </si>
  <si>
    <t>Total</t>
  </si>
  <si>
    <t>CONTROL Y TOTALES DEL EJERCICIO</t>
  </si>
  <si>
    <t>Cantidad objetivo (unidades)</t>
  </si>
  <si>
    <t>Diferencia para llegar al objetivo</t>
  </si>
  <si>
    <t>Subtotal indicado (referencia)</t>
  </si>
  <si>
    <t>Impuesto indicado (referencia)</t>
  </si>
  <si>
    <t>Total indicado</t>
  </si>
  <si>
    <t>Leche entera, 1 L</t>
  </si>
  <si>
    <t>Leche deslactosada, 1 L</t>
  </si>
  <si>
    <t>Leche semidescremada, 1 L</t>
  </si>
  <si>
    <t>Leche descremada, 1 L</t>
  </si>
  <si>
    <t>Leche chocolate, 200 ml</t>
  </si>
  <si>
    <t>Yogur de fresa, 150 g</t>
  </si>
  <si>
    <t>Yogur de vainilla, 150 g</t>
  </si>
  <si>
    <t>Yogur de fresa, 1 L</t>
  </si>
  <si>
    <t>Yogur bebible, 250 ml</t>
  </si>
  <si>
    <t>Crema, 200 ml</t>
  </si>
  <si>
    <t>Crema dulce, 250 ml</t>
  </si>
  <si>
    <t>Queso duro, 1 libra</t>
  </si>
  <si>
    <t>Queso mozzarella, 400 g</t>
  </si>
  <si>
    <t>Queso procesado, 200 g</t>
  </si>
  <si>
    <t>Mantequilla, 200 g</t>
  </si>
  <si>
    <t>Mantequilla, 90 g</t>
  </si>
  <si>
    <t>Leche condensada, 395 g</t>
  </si>
  <si>
    <t xml:space="preserve">Leche entera, 1 L </t>
  </si>
  <si>
    <t>Dos Pinos</t>
  </si>
  <si>
    <t>Salud</t>
  </si>
  <si>
    <t>Sula</t>
  </si>
  <si>
    <t>Yoplait</t>
  </si>
  <si>
    <t>Lactolac</t>
  </si>
  <si>
    <t>La Salud</t>
  </si>
  <si>
    <t>Petacones</t>
  </si>
  <si>
    <t>La Vaquita</t>
  </si>
  <si>
    <t>Nestlé</t>
  </si>
  <si>
    <t>Marca</t>
  </si>
  <si>
    <t>semanas</t>
  </si>
  <si>
    <t xml:space="preserve">inventario </t>
  </si>
  <si>
    <t>VILLA LACTEA — INVENTARIO FINAL DE SEMANA 1 DE AGOSTO DE 2026</t>
  </si>
  <si>
    <t xml:space="preserve">Cantidad después de compras 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</si>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</sst>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6E0B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 style="thin">
        <color rgb="FFB7C9D6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5" borderId="3" xfId="0" applyFont="1" applyFill="1" applyBorder="1" applyAlignment="1">
      <alignment vertical="center"/>
    </xf>
    <xf numFmtId="164" fontId="3" fillId="5" borderId="3" xfId="0" applyNumberFormat="1" applyFont="1" applyFill="1" applyBorder="1" applyAlignment="1">
      <alignment vertical="center"/>
    </xf>
    <xf numFmtId="3" fontId="3" fillId="4" borderId="3" xfId="0" applyNumberFormat="1" applyFont="1" applyFill="1" applyBorder="1" applyAlignment="1">
      <alignment vertical="center"/>
    </xf>
    <xf numFmtId="164" fontId="0" fillId="0" borderId="0" xfId="0" applyNumberFormat="1"/>
    <xf numFmtId="3" fontId="2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3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5B2B8B-AC78-49F4-BCE2-5FDA85F40CDA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8mVLcPfddSdkkjLfb9uVT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5045-5BF9-49BE-A92A-5A56B0E65A87}">
  <dimension ref="A1:I29"/>
  <sheetViews>
    <sheetView zoomScale="87" workbookViewId="0">
      <selection activeCell="B13" sqref="B13"/>
    </sheetView>
  </sheetViews>
  <sheetFormatPr baseColWidth="10" defaultRowHeight="14.4" x14ac:dyDescent="0.3"/>
  <cols>
    <col min="1" max="1" width="24.33203125" customWidth="1"/>
    <col min="2" max="2" width="18.109375" customWidth="1"/>
    <col min="3" max="3" width="13.44140625" customWidth="1"/>
    <col min="4" max="4" width="19.33203125" customWidth="1"/>
    <col min="5" max="8" width="20" customWidth="1"/>
    <col min="9" max="9" width="21.88671875" customWidth="1"/>
  </cols>
  <sheetData>
    <row r="1" spans="1:9" ht="24" customHeight="1" x14ac:dyDescent="0.3">
      <c r="A1" s="21" t="s">
        <v>0</v>
      </c>
      <c r="B1" s="21"/>
      <c r="C1" s="5"/>
      <c r="D1" s="21" t="s">
        <v>3</v>
      </c>
      <c r="E1" s="21"/>
      <c r="F1" s="5"/>
      <c r="G1" s="5"/>
      <c r="H1" s="5"/>
      <c r="I1" s="5"/>
    </row>
    <row r="2" spans="1:9" ht="30" customHeight="1" x14ac:dyDescent="0.3">
      <c r="A2" s="1" t="s">
        <v>45</v>
      </c>
      <c r="B2" s="1" t="s">
        <v>1</v>
      </c>
      <c r="C2" s="5"/>
      <c r="D2" s="1" t="s">
        <v>45</v>
      </c>
      <c r="E2" s="1" t="s">
        <v>1</v>
      </c>
      <c r="F2" s="5"/>
      <c r="G2" s="5"/>
      <c r="H2" s="5"/>
      <c r="I2" s="5"/>
    </row>
    <row r="3" spans="1:9" x14ac:dyDescent="0.3">
      <c r="A3" s="2">
        <v>1</v>
      </c>
      <c r="B3" s="3">
        <v>7135.91</v>
      </c>
      <c r="C3" s="5"/>
      <c r="D3" s="2">
        <v>1</v>
      </c>
      <c r="E3" s="3">
        <v>794.04</v>
      </c>
      <c r="F3" s="5"/>
      <c r="G3" s="5"/>
      <c r="H3" s="5"/>
      <c r="I3" s="5"/>
    </row>
    <row r="4" spans="1:9" x14ac:dyDescent="0.3">
      <c r="A4" s="2">
        <v>2</v>
      </c>
      <c r="B4" s="3"/>
      <c r="C4" s="5"/>
      <c r="D4" s="2">
        <v>2</v>
      </c>
      <c r="E4" s="3"/>
      <c r="F4" s="5"/>
      <c r="G4" s="5"/>
      <c r="H4" s="5"/>
      <c r="I4" s="5"/>
    </row>
    <row r="5" spans="1:9" x14ac:dyDescent="0.3">
      <c r="A5" s="2">
        <v>3</v>
      </c>
      <c r="B5" s="3"/>
      <c r="C5" s="5"/>
      <c r="D5" s="2">
        <v>3</v>
      </c>
      <c r="E5" s="3"/>
      <c r="F5" s="5"/>
      <c r="G5" s="5"/>
      <c r="H5" s="5"/>
      <c r="I5" s="5"/>
    </row>
    <row r="6" spans="1:9" x14ac:dyDescent="0.3">
      <c r="A6" s="2">
        <v>4</v>
      </c>
      <c r="B6" s="3"/>
      <c r="C6" s="5"/>
      <c r="D6" s="2">
        <v>4</v>
      </c>
      <c r="E6" s="3"/>
      <c r="F6" s="5"/>
      <c r="G6" s="5"/>
      <c r="H6" s="5"/>
      <c r="I6" s="5"/>
    </row>
    <row r="7" spans="1:9" x14ac:dyDescent="0.3">
      <c r="A7" s="2">
        <v>5</v>
      </c>
      <c r="B7" s="3"/>
      <c r="C7" s="5"/>
      <c r="D7" s="2">
        <v>5</v>
      </c>
      <c r="E7" s="3"/>
      <c r="F7" s="5"/>
      <c r="G7" s="5"/>
      <c r="H7" s="5"/>
      <c r="I7" s="5"/>
    </row>
    <row r="8" spans="1:9" x14ac:dyDescent="0.3">
      <c r="A8" s="6" t="s">
        <v>2</v>
      </c>
      <c r="B8" s="7">
        <f>SUM(B3:B7)</f>
        <v>7135.91</v>
      </c>
      <c r="C8" s="7">
        <f>B8/1.13</f>
        <v>6314.9646017699124</v>
      </c>
      <c r="D8" s="6" t="s">
        <v>2</v>
      </c>
      <c r="E8" s="7">
        <f>SUM(E3:E7)</f>
        <v>794.04</v>
      </c>
      <c r="F8" s="7"/>
      <c r="G8" s="5"/>
      <c r="H8" s="5"/>
      <c r="I8" s="5"/>
    </row>
    <row r="9" spans="1:9" x14ac:dyDescent="0.3">
      <c r="A9" s="5"/>
      <c r="B9" s="8"/>
      <c r="C9" s="5"/>
      <c r="D9" s="5"/>
      <c r="E9" s="5"/>
      <c r="F9" s="5"/>
      <c r="G9" s="5"/>
      <c r="H9" s="5"/>
      <c r="I9" s="5"/>
    </row>
    <row r="10" spans="1:9" x14ac:dyDescent="0.3">
      <c r="A10" s="9" t="s">
        <v>4</v>
      </c>
      <c r="B10" s="10">
        <f>C8+E8</f>
        <v>7109.0046017699124</v>
      </c>
      <c r="C10" s="5"/>
      <c r="D10" s="8"/>
      <c r="E10" s="5"/>
      <c r="F10" s="5"/>
      <c r="G10" s="5"/>
      <c r="H10" s="5"/>
      <c r="I10" s="5"/>
    </row>
    <row r="11" spans="1:9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9" ht="24.9" customHeight="1" x14ac:dyDescent="0.3">
      <c r="A12" s="4"/>
      <c r="B12" s="4"/>
      <c r="C12" s="4"/>
      <c r="D12" s="4" t="str">
        <f t="shared" ref="D12:D21" si="0">IF(COUNTA(A12:C12)=0,"",A12+B12-C12)</f>
        <v/>
      </c>
      <c r="E12" s="12"/>
    </row>
    <row r="13" spans="1:9" ht="36" customHeight="1" x14ac:dyDescent="0.3">
      <c r="A13" s="4"/>
      <c r="B13" s="4"/>
      <c r="C13" s="4"/>
      <c r="D13" s="4" t="str">
        <f t="shared" si="0"/>
        <v/>
      </c>
    </row>
    <row r="14" spans="1:9" ht="21" customHeight="1" x14ac:dyDescent="0.3">
      <c r="A14" s="4"/>
      <c r="B14" s="4"/>
      <c r="C14" s="4"/>
      <c r="D14" s="4" t="str">
        <f t="shared" si="0"/>
        <v/>
      </c>
    </row>
    <row r="15" spans="1:9" ht="21" customHeight="1" x14ac:dyDescent="0.3">
      <c r="A15" s="4"/>
      <c r="B15" s="4"/>
      <c r="C15" s="4"/>
      <c r="D15" s="4" t="str">
        <f t="shared" si="0"/>
        <v/>
      </c>
    </row>
    <row r="16" spans="1:9" ht="21" customHeight="1" x14ac:dyDescent="0.3">
      <c r="A16" s="4"/>
      <c r="B16" s="4"/>
      <c r="C16" s="4"/>
      <c r="D16" s="4" t="str">
        <f t="shared" si="0"/>
        <v/>
      </c>
    </row>
    <row r="17" spans="1:4" ht="21" customHeight="1" x14ac:dyDescent="0.3">
      <c r="A17" s="4"/>
      <c r="B17" s="4"/>
      <c r="C17" s="4"/>
      <c r="D17" s="4" t="str">
        <f t="shared" si="0"/>
        <v/>
      </c>
    </row>
    <row r="18" spans="1:4" ht="21" customHeight="1" x14ac:dyDescent="0.3">
      <c r="A18" s="4"/>
      <c r="B18" s="4"/>
      <c r="C18" s="4"/>
      <c r="D18" s="4" t="str">
        <f t="shared" si="0"/>
        <v/>
      </c>
    </row>
    <row r="19" spans="1:4" ht="21" customHeight="1" x14ac:dyDescent="0.3">
      <c r="A19" s="4"/>
      <c r="B19" s="4"/>
      <c r="C19" s="4"/>
      <c r="D19" s="4" t="str">
        <f t="shared" si="0"/>
        <v/>
      </c>
    </row>
    <row r="20" spans="1:4" ht="21" customHeight="1" x14ac:dyDescent="0.3">
      <c r="A20" s="4"/>
      <c r="B20" s="4"/>
      <c r="C20" s="4"/>
      <c r="D20" s="4" t="str">
        <f t="shared" si="0"/>
        <v/>
      </c>
    </row>
    <row r="21" spans="1:4" ht="21" customHeight="1" x14ac:dyDescent="0.3">
      <c r="A21" s="4"/>
      <c r="B21" s="4"/>
      <c r="C21" s="4"/>
      <c r="D21" s="4" t="str">
        <f t="shared" si="0"/>
        <v/>
      </c>
    </row>
    <row r="22" spans="1:4" ht="21" customHeight="1" x14ac:dyDescent="0.3"/>
    <row r="23" spans="1:4" ht="21" customHeight="1" x14ac:dyDescent="0.3">
      <c r="A23" s="5"/>
      <c r="B23" s="5"/>
      <c r="C23" s="5"/>
      <c r="D23" s="5"/>
    </row>
    <row r="24" spans="1:4" x14ac:dyDescent="0.3">
      <c r="A24" s="5"/>
      <c r="B24" s="5"/>
      <c r="C24" s="5"/>
      <c r="D24" s="5"/>
    </row>
    <row r="25" spans="1:4" x14ac:dyDescent="0.3">
      <c r="A25" s="5"/>
      <c r="B25" s="5"/>
      <c r="C25" s="5"/>
      <c r="D25" s="5"/>
    </row>
    <row r="26" spans="1:4" ht="24" customHeight="1" x14ac:dyDescent="0.3">
      <c r="A26" s="5"/>
      <c r="B26" s="5"/>
      <c r="C26" s="5"/>
      <c r="D26" s="5"/>
    </row>
    <row r="27" spans="1:4" x14ac:dyDescent="0.3">
      <c r="A27" s="5"/>
      <c r="B27" s="5"/>
      <c r="C27" s="5"/>
      <c r="D27" s="5"/>
    </row>
    <row r="28" spans="1:4" x14ac:dyDescent="0.3">
      <c r="A28" s="5"/>
      <c r="B28" s="5"/>
      <c r="C28" s="5"/>
      <c r="D28" s="5"/>
    </row>
    <row r="29" spans="1:4" x14ac:dyDescent="0.3">
      <c r="A29" s="5"/>
      <c r="B29" s="5"/>
      <c r="C29" s="5"/>
      <c r="D29" s="5"/>
    </row>
  </sheetData>
  <mergeCells count="2">
    <mergeCell ref="A1:B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012E-061A-4BF2-B7B6-FE3D3C3AB4DE}">
  <dimension ref="A1:H29"/>
  <sheetViews>
    <sheetView workbookViewId="0">
      <selection activeCell="H7" sqref="H7"/>
    </sheetView>
  </sheetViews>
  <sheetFormatPr baseColWidth="10" defaultRowHeight="14.4" x14ac:dyDescent="0.3"/>
  <cols>
    <col min="1" max="1" width="14.21875" customWidth="1"/>
    <col min="2" max="3" width="16.109375" customWidth="1"/>
    <col min="4" max="4" width="37.44140625" customWidth="1"/>
    <col min="5" max="5" width="16.44140625" customWidth="1"/>
    <col min="6" max="6" width="16.33203125" customWidth="1"/>
    <col min="8" max="8" width="27.77734375" customWidth="1"/>
    <col min="9" max="9" width="14.6640625" customWidth="1"/>
  </cols>
  <sheetData>
    <row r="1" spans="1:8" x14ac:dyDescent="0.3">
      <c r="A1" s="17" t="s">
        <v>5</v>
      </c>
      <c r="B1" s="18"/>
      <c r="C1" s="18"/>
      <c r="D1" s="18"/>
      <c r="E1" s="18"/>
      <c r="F1" s="19"/>
    </row>
    <row r="2" spans="1:8" ht="26.4" x14ac:dyDescent="0.3">
      <c r="A2" s="1" t="s">
        <v>6</v>
      </c>
      <c r="B2" s="1" t="s">
        <v>7</v>
      </c>
      <c r="C2" s="1" t="s">
        <v>44</v>
      </c>
      <c r="D2" s="1" t="s">
        <v>8</v>
      </c>
      <c r="E2" s="1" t="s">
        <v>9</v>
      </c>
      <c r="F2" s="1" t="s">
        <v>10</v>
      </c>
    </row>
    <row r="3" spans="1:8" x14ac:dyDescent="0.3">
      <c r="A3" s="2">
        <v>1</v>
      </c>
      <c r="B3" s="13">
        <v>99</v>
      </c>
      <c r="C3" s="4" t="s">
        <v>35</v>
      </c>
      <c r="D3" s="2" t="s">
        <v>34</v>
      </c>
      <c r="E3" s="3">
        <v>13.2</v>
      </c>
      <c r="F3" s="3">
        <f>IF(OR(B3="",E3=""),"",B3*E3)</f>
        <v>1306.8</v>
      </c>
      <c r="H3" s="12">
        <f>E3*1.13</f>
        <v>14.915999999999999</v>
      </c>
    </row>
    <row r="4" spans="1:8" x14ac:dyDescent="0.3">
      <c r="A4" s="2">
        <v>2</v>
      </c>
      <c r="B4" s="13">
        <v>44</v>
      </c>
      <c r="C4" s="4" t="s">
        <v>35</v>
      </c>
      <c r="D4" s="2" t="s">
        <v>18</v>
      </c>
      <c r="E4" s="3">
        <v>16.2</v>
      </c>
      <c r="F4" s="3">
        <f t="shared" ref="F4:F21" si="0">IF(OR(B4="",E4=""),"",B4*E4)</f>
        <v>712.8</v>
      </c>
      <c r="H4" s="12">
        <f t="shared" ref="H4:H21" si="1">E4*1.13</f>
        <v>18.305999999999997</v>
      </c>
    </row>
    <row r="5" spans="1:8" x14ac:dyDescent="0.3">
      <c r="A5" s="2">
        <v>3</v>
      </c>
      <c r="B5" s="13">
        <v>37</v>
      </c>
      <c r="C5" s="4" t="s">
        <v>35</v>
      </c>
      <c r="D5" s="2" t="s">
        <v>19</v>
      </c>
      <c r="E5" s="3">
        <v>14.4</v>
      </c>
      <c r="F5" s="3">
        <f t="shared" si="0"/>
        <v>532.80000000000007</v>
      </c>
      <c r="H5" s="12">
        <f t="shared" si="1"/>
        <v>16.271999999999998</v>
      </c>
    </row>
    <row r="6" spans="1:8" x14ac:dyDescent="0.3">
      <c r="A6" s="2">
        <v>4</v>
      </c>
      <c r="B6" s="13">
        <v>62</v>
      </c>
      <c r="C6" s="4" t="s">
        <v>36</v>
      </c>
      <c r="D6" s="2" t="s">
        <v>17</v>
      </c>
      <c r="E6" s="3">
        <v>11.4</v>
      </c>
      <c r="F6" s="3">
        <f t="shared" si="0"/>
        <v>706.80000000000007</v>
      </c>
      <c r="H6" s="12">
        <f t="shared" si="1"/>
        <v>12.882</v>
      </c>
    </row>
    <row r="7" spans="1:8" x14ac:dyDescent="0.3">
      <c r="A7" s="2">
        <v>5</v>
      </c>
      <c r="B7" s="13">
        <v>31</v>
      </c>
      <c r="C7" s="4" t="s">
        <v>36</v>
      </c>
      <c r="D7" s="2" t="s">
        <v>20</v>
      </c>
      <c r="E7" s="3">
        <v>12.6</v>
      </c>
      <c r="F7" s="3">
        <f t="shared" si="0"/>
        <v>390.59999999999997</v>
      </c>
      <c r="H7" s="12">
        <f t="shared" si="1"/>
        <v>14.237999999999998</v>
      </c>
    </row>
    <row r="8" spans="1:8" x14ac:dyDescent="0.3">
      <c r="A8" s="2">
        <v>6</v>
      </c>
      <c r="B8" s="13">
        <v>62</v>
      </c>
      <c r="C8" s="4" t="s">
        <v>37</v>
      </c>
      <c r="D8" s="2" t="s">
        <v>17</v>
      </c>
      <c r="E8" s="3">
        <v>12</v>
      </c>
      <c r="F8" s="3">
        <f t="shared" si="0"/>
        <v>744</v>
      </c>
      <c r="H8" s="12">
        <f t="shared" si="1"/>
        <v>13.559999999999999</v>
      </c>
    </row>
    <row r="9" spans="1:8" x14ac:dyDescent="0.3">
      <c r="A9" s="2">
        <v>7</v>
      </c>
      <c r="B9" s="13">
        <v>37</v>
      </c>
      <c r="C9" s="4" t="s">
        <v>37</v>
      </c>
      <c r="D9" s="2" t="s">
        <v>21</v>
      </c>
      <c r="E9" s="3">
        <v>10.8</v>
      </c>
      <c r="F9" s="3">
        <f t="shared" si="0"/>
        <v>399.6</v>
      </c>
      <c r="H9" s="12">
        <f t="shared" si="1"/>
        <v>12.203999999999999</v>
      </c>
    </row>
    <row r="10" spans="1:8" x14ac:dyDescent="0.3">
      <c r="A10" s="2">
        <v>8</v>
      </c>
      <c r="B10" s="13">
        <v>24</v>
      </c>
      <c r="C10" s="4" t="s">
        <v>35</v>
      </c>
      <c r="D10" s="2" t="s">
        <v>22</v>
      </c>
      <c r="E10" s="3">
        <v>13.2</v>
      </c>
      <c r="F10" s="3">
        <f t="shared" si="0"/>
        <v>316.79999999999995</v>
      </c>
      <c r="H10" s="12">
        <f t="shared" si="1"/>
        <v>14.915999999999999</v>
      </c>
    </row>
    <row r="11" spans="1:8" x14ac:dyDescent="0.3">
      <c r="A11" s="2">
        <v>9</v>
      </c>
      <c r="B11" s="13">
        <v>19</v>
      </c>
      <c r="C11" s="4" t="s">
        <v>35</v>
      </c>
      <c r="D11" s="2" t="s">
        <v>23</v>
      </c>
      <c r="E11" s="3">
        <v>13.2</v>
      </c>
      <c r="F11" s="3">
        <f t="shared" si="0"/>
        <v>250.79999999999998</v>
      </c>
      <c r="H11" s="12">
        <f t="shared" si="1"/>
        <v>14.915999999999999</v>
      </c>
    </row>
    <row r="12" spans="1:8" x14ac:dyDescent="0.3">
      <c r="A12" s="2">
        <v>10</v>
      </c>
      <c r="B12" s="13">
        <v>31</v>
      </c>
      <c r="C12" s="4" t="s">
        <v>38</v>
      </c>
      <c r="D12" s="2" t="s">
        <v>24</v>
      </c>
      <c r="E12" s="3">
        <v>19.2</v>
      </c>
      <c r="F12" s="3">
        <f t="shared" si="0"/>
        <v>595.19999999999993</v>
      </c>
      <c r="H12" s="12">
        <f t="shared" si="1"/>
        <v>21.695999999999998</v>
      </c>
    </row>
    <row r="13" spans="1:8" x14ac:dyDescent="0.3">
      <c r="A13" s="2">
        <v>11</v>
      </c>
      <c r="B13" s="13">
        <v>62</v>
      </c>
      <c r="C13" s="4" t="s">
        <v>38</v>
      </c>
      <c r="D13" s="2" t="s">
        <v>25</v>
      </c>
      <c r="E13" s="3">
        <v>7.8</v>
      </c>
      <c r="F13" s="3">
        <f t="shared" si="0"/>
        <v>483.59999999999997</v>
      </c>
      <c r="H13" s="12">
        <f t="shared" si="1"/>
        <v>8.8139999999999983</v>
      </c>
    </row>
    <row r="14" spans="1:8" x14ac:dyDescent="0.3">
      <c r="A14" s="2">
        <v>12</v>
      </c>
      <c r="B14" s="13">
        <v>37</v>
      </c>
      <c r="C14" s="4" t="s">
        <v>39</v>
      </c>
      <c r="D14" s="2" t="s">
        <v>26</v>
      </c>
      <c r="E14" s="3">
        <v>10.199999999999999</v>
      </c>
      <c r="F14" s="3">
        <f t="shared" si="0"/>
        <v>377.4</v>
      </c>
      <c r="H14" s="12">
        <f t="shared" si="1"/>
        <v>11.525999999999998</v>
      </c>
    </row>
    <row r="15" spans="1:8" x14ac:dyDescent="0.3">
      <c r="A15" s="2">
        <v>13</v>
      </c>
      <c r="B15" s="13">
        <v>31</v>
      </c>
      <c r="C15" s="4" t="s">
        <v>35</v>
      </c>
      <c r="D15" s="2" t="s">
        <v>27</v>
      </c>
      <c r="E15" s="3">
        <v>13.2</v>
      </c>
      <c r="F15" s="3">
        <f t="shared" si="0"/>
        <v>409.2</v>
      </c>
      <c r="H15" s="12">
        <f t="shared" si="1"/>
        <v>14.915999999999999</v>
      </c>
    </row>
    <row r="16" spans="1:8" x14ac:dyDescent="0.3">
      <c r="A16" s="2">
        <v>14</v>
      </c>
      <c r="B16" s="13">
        <v>74</v>
      </c>
      <c r="C16" s="4" t="s">
        <v>40</v>
      </c>
      <c r="D16" s="2" t="s">
        <v>28</v>
      </c>
      <c r="E16" s="3">
        <v>13.2</v>
      </c>
      <c r="F16" s="3">
        <f t="shared" si="0"/>
        <v>976.8</v>
      </c>
      <c r="H16" s="12">
        <f t="shared" si="1"/>
        <v>14.915999999999999</v>
      </c>
    </row>
    <row r="17" spans="1:8" x14ac:dyDescent="0.3">
      <c r="A17" s="2">
        <v>15</v>
      </c>
      <c r="B17" s="13">
        <v>31</v>
      </c>
      <c r="C17" s="4" t="s">
        <v>41</v>
      </c>
      <c r="D17" s="2" t="s">
        <v>29</v>
      </c>
      <c r="E17" s="3">
        <v>25.2</v>
      </c>
      <c r="F17" s="3">
        <f t="shared" si="0"/>
        <v>781.19999999999993</v>
      </c>
      <c r="H17" s="12">
        <f t="shared" si="1"/>
        <v>28.475999999999996</v>
      </c>
    </row>
    <row r="18" spans="1:8" x14ac:dyDescent="0.3">
      <c r="A18" s="2">
        <v>16</v>
      </c>
      <c r="B18" s="13">
        <v>37</v>
      </c>
      <c r="C18" s="4" t="s">
        <v>35</v>
      </c>
      <c r="D18" s="2" t="s">
        <v>30</v>
      </c>
      <c r="E18" s="3">
        <v>15</v>
      </c>
      <c r="F18" s="3">
        <f t="shared" si="0"/>
        <v>555</v>
      </c>
      <c r="H18" s="12">
        <f t="shared" si="1"/>
        <v>16.95</v>
      </c>
    </row>
    <row r="19" spans="1:8" x14ac:dyDescent="0.3">
      <c r="A19" s="2">
        <v>17</v>
      </c>
      <c r="B19" s="13">
        <v>31</v>
      </c>
      <c r="C19" s="4" t="s">
        <v>42</v>
      </c>
      <c r="D19" s="2" t="s">
        <v>31</v>
      </c>
      <c r="E19" s="3">
        <v>15.6</v>
      </c>
      <c r="F19" s="3">
        <f t="shared" si="0"/>
        <v>483.59999999999997</v>
      </c>
      <c r="H19" s="12">
        <f t="shared" si="1"/>
        <v>17.627999999999997</v>
      </c>
    </row>
    <row r="20" spans="1:8" x14ac:dyDescent="0.3">
      <c r="A20" s="2">
        <v>18</v>
      </c>
      <c r="B20" s="13">
        <v>19</v>
      </c>
      <c r="C20" s="4" t="s">
        <v>35</v>
      </c>
      <c r="D20" s="2" t="s">
        <v>32</v>
      </c>
      <c r="E20" s="3">
        <v>15.6</v>
      </c>
      <c r="F20" s="3">
        <f t="shared" si="0"/>
        <v>296.39999999999998</v>
      </c>
      <c r="H20" s="12">
        <f t="shared" si="1"/>
        <v>17.627999999999997</v>
      </c>
    </row>
    <row r="21" spans="1:8" x14ac:dyDescent="0.3">
      <c r="A21" s="2">
        <v>19</v>
      </c>
      <c r="B21" s="13">
        <v>24</v>
      </c>
      <c r="C21" s="4" t="s">
        <v>43</v>
      </c>
      <c r="D21" s="2" t="s">
        <v>33</v>
      </c>
      <c r="E21" s="3">
        <v>20.88</v>
      </c>
      <c r="F21" s="3">
        <f t="shared" si="0"/>
        <v>501.12</v>
      </c>
      <c r="H21" s="12">
        <f t="shared" si="1"/>
        <v>23.594399999999997</v>
      </c>
    </row>
    <row r="22" spans="1:8" x14ac:dyDescent="0.3">
      <c r="A22" s="6" t="s">
        <v>2</v>
      </c>
      <c r="B22" s="11">
        <f>SUM(B3:B21)</f>
        <v>792</v>
      </c>
      <c r="C22" s="11"/>
      <c r="D22" s="6"/>
      <c r="E22" s="7"/>
      <c r="F22" s="7">
        <f>SUM(F3:F21)</f>
        <v>10820.520000000002</v>
      </c>
    </row>
    <row r="23" spans="1:8" x14ac:dyDescent="0.3">
      <c r="A23" s="5"/>
      <c r="B23" s="5"/>
      <c r="C23" s="5"/>
      <c r="D23" s="5"/>
      <c r="E23" s="5"/>
      <c r="F23" s="5"/>
    </row>
    <row r="24" spans="1:8" x14ac:dyDescent="0.3">
      <c r="A24" s="5"/>
      <c r="B24" s="5"/>
      <c r="C24" s="5"/>
      <c r="D24" s="5"/>
    </row>
    <row r="25" spans="1:8" x14ac:dyDescent="0.3">
      <c r="A25" s="5"/>
      <c r="B25" s="5"/>
      <c r="C25" s="5"/>
      <c r="D25" s="5"/>
    </row>
    <row r="26" spans="1:8" x14ac:dyDescent="0.3">
      <c r="A26" s="5"/>
      <c r="B26" s="5"/>
      <c r="C26" s="5"/>
      <c r="D26" s="5"/>
    </row>
    <row r="27" spans="1:8" x14ac:dyDescent="0.3">
      <c r="A27" s="5"/>
      <c r="B27" s="5"/>
      <c r="C27" s="5"/>
      <c r="D27" s="5"/>
    </row>
    <row r="28" spans="1:8" x14ac:dyDescent="0.3">
      <c r="A28" s="5"/>
      <c r="B28" s="5"/>
      <c r="C28" s="5"/>
      <c r="D28" s="5"/>
    </row>
    <row r="29" spans="1:8" x14ac:dyDescent="0.3">
      <c r="A29" s="5"/>
      <c r="B29" s="5"/>
      <c r="C29" s="5"/>
      <c r="D29" s="5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E67D-0128-4833-865C-A1FAFD67D3A5}">
  <dimension ref="A1:J29"/>
  <sheetViews>
    <sheetView topLeftCell="A2" workbookViewId="0">
      <selection activeCell="I12" sqref="I12"/>
    </sheetView>
  </sheetViews>
  <sheetFormatPr baseColWidth="10" defaultRowHeight="14.4" x14ac:dyDescent="0.3"/>
  <cols>
    <col min="1" max="1" width="14.21875" customWidth="1"/>
    <col min="2" max="3" width="16.109375" customWidth="1"/>
    <col min="4" max="4" width="37.44140625" customWidth="1"/>
    <col min="5" max="5" width="16.44140625" customWidth="1"/>
    <col min="6" max="6" width="16.33203125" customWidth="1"/>
    <col min="8" max="8" width="27.77734375" customWidth="1"/>
    <col min="9" max="9" width="14.6640625" customWidth="1"/>
  </cols>
  <sheetData>
    <row r="1" spans="1:10" x14ac:dyDescent="0.3">
      <c r="A1" s="17" t="s">
        <v>47</v>
      </c>
      <c r="B1" s="18"/>
      <c r="C1" s="18"/>
      <c r="D1" s="18"/>
      <c r="E1" s="18"/>
      <c r="F1" s="19"/>
    </row>
    <row r="2" spans="1:10" ht="26.4" x14ac:dyDescent="0.3">
      <c r="A2" s="1" t="s">
        <v>6</v>
      </c>
      <c r="B2" s="1" t="s">
        <v>7</v>
      </c>
      <c r="C2" s="1" t="s">
        <v>44</v>
      </c>
      <c r="D2" s="1" t="s">
        <v>8</v>
      </c>
      <c r="E2" s="1" t="s">
        <v>9</v>
      </c>
      <c r="F2" s="1" t="s">
        <v>10</v>
      </c>
    </row>
    <row r="3" spans="1:10" x14ac:dyDescent="0.3">
      <c r="A3" s="2">
        <v>1</v>
      </c>
      <c r="B3" s="4">
        <f>G3-3-3-3-3-3-4-3-3-3-4-4</f>
        <v>63</v>
      </c>
      <c r="C3" s="4" t="s">
        <v>35</v>
      </c>
      <c r="D3" s="2" t="s">
        <v>34</v>
      </c>
      <c r="E3" s="3">
        <v>13.2</v>
      </c>
      <c r="F3" s="3">
        <f t="shared" ref="F3:F21" si="0">IF(OR(B3="",E3=""),"",B3*E3)</f>
        <v>831.59999999999991</v>
      </c>
      <c r="G3" s="13">
        <v>99</v>
      </c>
    </row>
    <row r="4" spans="1:10" x14ac:dyDescent="0.3">
      <c r="A4" s="2">
        <v>2</v>
      </c>
      <c r="B4" s="4">
        <f>G4-3-3-3-3-4-4-4-4</f>
        <v>16</v>
      </c>
      <c r="C4" s="4" t="s">
        <v>35</v>
      </c>
      <c r="D4" s="2" t="s">
        <v>18</v>
      </c>
      <c r="E4" s="3">
        <v>16.2</v>
      </c>
      <c r="F4" s="3">
        <f t="shared" si="0"/>
        <v>259.2</v>
      </c>
      <c r="G4" s="13">
        <v>44</v>
      </c>
    </row>
    <row r="5" spans="1:10" x14ac:dyDescent="0.3">
      <c r="A5" s="2">
        <v>3</v>
      </c>
      <c r="B5" s="4">
        <f>G5-25</f>
        <v>12</v>
      </c>
      <c r="C5" s="4" t="s">
        <v>35</v>
      </c>
      <c r="D5" s="2" t="s">
        <v>19</v>
      </c>
      <c r="E5" s="3">
        <v>14.4</v>
      </c>
      <c r="F5" s="3">
        <f t="shared" si="0"/>
        <v>172.8</v>
      </c>
      <c r="G5" s="13">
        <v>37</v>
      </c>
    </row>
    <row r="6" spans="1:10" x14ac:dyDescent="0.3">
      <c r="A6" s="2">
        <v>4</v>
      </c>
      <c r="B6" s="4">
        <f>G6-3-3-3-3-3-3-4-3-3</f>
        <v>34</v>
      </c>
      <c r="C6" s="4" t="s">
        <v>36</v>
      </c>
      <c r="D6" s="2" t="s">
        <v>17</v>
      </c>
      <c r="E6" s="3">
        <v>11.4</v>
      </c>
      <c r="F6" s="3">
        <f t="shared" si="0"/>
        <v>387.6</v>
      </c>
      <c r="G6" s="13">
        <v>62</v>
      </c>
    </row>
    <row r="7" spans="1:10" x14ac:dyDescent="0.3">
      <c r="A7" s="2">
        <v>5</v>
      </c>
      <c r="B7" s="4">
        <f>G7-4-3-4-3-3-3-3-3</f>
        <v>5</v>
      </c>
      <c r="C7" s="4" t="s">
        <v>36</v>
      </c>
      <c r="D7" s="2" t="s">
        <v>20</v>
      </c>
      <c r="E7" s="3">
        <v>12.6</v>
      </c>
      <c r="F7" s="3">
        <f t="shared" si="0"/>
        <v>63</v>
      </c>
      <c r="G7" s="13">
        <v>31</v>
      </c>
      <c r="H7" s="20" t="s">
        <v>11</v>
      </c>
      <c r="I7" s="20"/>
    </row>
    <row r="8" spans="1:10" x14ac:dyDescent="0.3">
      <c r="A8" s="2">
        <v>6</v>
      </c>
      <c r="B8" s="4">
        <f>G8-3-3-4-3-4</f>
        <v>45</v>
      </c>
      <c r="C8" s="4" t="s">
        <v>37</v>
      </c>
      <c r="D8" s="2" t="s">
        <v>17</v>
      </c>
      <c r="E8" s="3">
        <v>12</v>
      </c>
      <c r="F8" s="3">
        <f t="shared" si="0"/>
        <v>540</v>
      </c>
      <c r="G8" s="13">
        <v>62</v>
      </c>
      <c r="H8" s="2" t="s">
        <v>12</v>
      </c>
      <c r="I8" s="4">
        <f>B22</f>
        <v>305</v>
      </c>
    </row>
    <row r="9" spans="1:10" x14ac:dyDescent="0.3">
      <c r="A9" s="2">
        <v>7</v>
      </c>
      <c r="B9" s="4">
        <f>G9-3-4-4-3</f>
        <v>23</v>
      </c>
      <c r="C9" s="4" t="s">
        <v>37</v>
      </c>
      <c r="D9" s="2" t="s">
        <v>21</v>
      </c>
      <c r="E9" s="3">
        <v>10.8</v>
      </c>
      <c r="F9" s="3">
        <f t="shared" si="0"/>
        <v>248.4</v>
      </c>
      <c r="G9" s="13">
        <v>37</v>
      </c>
      <c r="H9" s="2" t="s">
        <v>13</v>
      </c>
      <c r="I9" s="4">
        <f>B22-I8</f>
        <v>0</v>
      </c>
    </row>
    <row r="10" spans="1:10" x14ac:dyDescent="0.3">
      <c r="A10" s="2">
        <v>8</v>
      </c>
      <c r="B10" s="4">
        <f>G10-3-2-3-2-1-2-3-2-3-3</f>
        <v>0</v>
      </c>
      <c r="C10" s="4" t="s">
        <v>35</v>
      </c>
      <c r="D10" s="2" t="s">
        <v>22</v>
      </c>
      <c r="E10" s="3">
        <v>13.2</v>
      </c>
      <c r="F10" s="3">
        <f t="shared" si="0"/>
        <v>0</v>
      </c>
      <c r="G10" s="13">
        <v>24</v>
      </c>
      <c r="H10" s="2" t="s">
        <v>14</v>
      </c>
      <c r="I10" s="3">
        <f>F22</f>
        <v>3711.6</v>
      </c>
    </row>
    <row r="11" spans="1:10" x14ac:dyDescent="0.3">
      <c r="A11" s="2">
        <v>9</v>
      </c>
      <c r="B11" s="4">
        <f>G11-2-2-3-2-2-2-2-2-1-1</f>
        <v>0</v>
      </c>
      <c r="C11" s="4" t="s">
        <v>35</v>
      </c>
      <c r="D11" s="2" t="s">
        <v>23</v>
      </c>
      <c r="E11" s="3">
        <v>13.2</v>
      </c>
      <c r="F11" s="3">
        <f t="shared" si="0"/>
        <v>0</v>
      </c>
      <c r="G11" s="13">
        <v>19</v>
      </c>
      <c r="H11" s="2" t="s">
        <v>15</v>
      </c>
      <c r="I11" s="12">
        <v>7109</v>
      </c>
    </row>
    <row r="12" spans="1:10" x14ac:dyDescent="0.3">
      <c r="A12" s="2">
        <v>10</v>
      </c>
      <c r="B12" s="4">
        <f>G12-3-4-3-4-4-3-3-4</f>
        <v>3</v>
      </c>
      <c r="C12" s="4" t="s">
        <v>38</v>
      </c>
      <c r="D12" s="2" t="s">
        <v>24</v>
      </c>
      <c r="E12" s="3">
        <v>19.2</v>
      </c>
      <c r="F12" s="3">
        <f t="shared" si="0"/>
        <v>57.599999999999994</v>
      </c>
      <c r="G12" s="13">
        <v>31</v>
      </c>
      <c r="H12" s="6" t="s">
        <v>16</v>
      </c>
      <c r="I12" s="7">
        <f>SUM(I10:I11)</f>
        <v>10820.6</v>
      </c>
    </row>
    <row r="13" spans="1:10" x14ac:dyDescent="0.3">
      <c r="A13" s="2">
        <v>11</v>
      </c>
      <c r="B13" s="4">
        <f>G13-3-2-3-2-2-2-2-3-3-2</f>
        <v>38</v>
      </c>
      <c r="C13" s="4" t="s">
        <v>38</v>
      </c>
      <c r="D13" s="2" t="s">
        <v>25</v>
      </c>
      <c r="E13" s="3">
        <v>7.8</v>
      </c>
      <c r="F13" s="3">
        <f t="shared" si="0"/>
        <v>296.39999999999998</v>
      </c>
      <c r="G13" s="13">
        <v>62</v>
      </c>
    </row>
    <row r="14" spans="1:10" x14ac:dyDescent="0.3">
      <c r="A14" s="2">
        <v>12</v>
      </c>
      <c r="B14" s="4">
        <f>G14-3-3-2-2-4-4-4</f>
        <v>15</v>
      </c>
      <c r="C14" s="4" t="s">
        <v>39</v>
      </c>
      <c r="D14" s="2" t="s">
        <v>26</v>
      </c>
      <c r="E14" s="3">
        <v>10.199999999999999</v>
      </c>
      <c r="F14" s="3">
        <f t="shared" si="0"/>
        <v>153</v>
      </c>
      <c r="G14" s="13">
        <v>37</v>
      </c>
      <c r="H14" s="14"/>
    </row>
    <row r="15" spans="1:10" x14ac:dyDescent="0.3">
      <c r="A15" s="2">
        <v>13</v>
      </c>
      <c r="B15" s="4">
        <f>G15-4-3-2-2-3-3-2-3-2-3-2-2</f>
        <v>0</v>
      </c>
      <c r="C15" s="4" t="s">
        <v>35</v>
      </c>
      <c r="D15" s="2" t="s">
        <v>27</v>
      </c>
      <c r="E15" s="3">
        <v>13.2</v>
      </c>
      <c r="F15" s="3">
        <f t="shared" si="0"/>
        <v>0</v>
      </c>
      <c r="G15" s="13">
        <v>31</v>
      </c>
      <c r="H15" t="s">
        <v>46</v>
      </c>
      <c r="I15" s="12">
        <f>I12-I14</f>
        <v>10820.6</v>
      </c>
      <c r="J15" s="12"/>
    </row>
    <row r="16" spans="1:10" x14ac:dyDescent="0.3">
      <c r="A16" s="2">
        <v>14</v>
      </c>
      <c r="B16" s="4">
        <f>G16-37</f>
        <v>37</v>
      </c>
      <c r="C16" s="4" t="s">
        <v>40</v>
      </c>
      <c r="D16" s="2" t="s">
        <v>28</v>
      </c>
      <c r="E16" s="3">
        <v>13.2</v>
      </c>
      <c r="F16" s="3">
        <f t="shared" si="0"/>
        <v>488.4</v>
      </c>
      <c r="G16" s="13">
        <v>74</v>
      </c>
    </row>
    <row r="17" spans="1:9" x14ac:dyDescent="0.3">
      <c r="A17" s="2">
        <v>15</v>
      </c>
      <c r="B17" s="4">
        <f>G17-4-3-3-3-2-2-2-2-2-3-3-2</f>
        <v>0</v>
      </c>
      <c r="C17" s="4" t="s">
        <v>41</v>
      </c>
      <c r="D17" s="2" t="s">
        <v>29</v>
      </c>
      <c r="E17" s="3">
        <v>25.2</v>
      </c>
      <c r="F17" s="3">
        <f t="shared" si="0"/>
        <v>0</v>
      </c>
      <c r="G17" s="13">
        <v>31</v>
      </c>
      <c r="I17" s="15"/>
    </row>
    <row r="18" spans="1:9" x14ac:dyDescent="0.3">
      <c r="A18" s="2">
        <v>16</v>
      </c>
      <c r="B18" s="4">
        <f>G18-29</f>
        <v>8</v>
      </c>
      <c r="C18" s="4" t="s">
        <v>35</v>
      </c>
      <c r="D18" s="2" t="s">
        <v>30</v>
      </c>
      <c r="E18" s="3">
        <v>15</v>
      </c>
      <c r="F18" s="3">
        <f t="shared" si="0"/>
        <v>120</v>
      </c>
      <c r="G18" s="13">
        <v>37</v>
      </c>
    </row>
    <row r="19" spans="1:9" x14ac:dyDescent="0.3">
      <c r="A19" s="2">
        <v>17</v>
      </c>
      <c r="B19" s="4">
        <f>G19-3-4-3-4-4-3-4</f>
        <v>6</v>
      </c>
      <c r="C19" s="4" t="s">
        <v>42</v>
      </c>
      <c r="D19" s="2" t="s">
        <v>31</v>
      </c>
      <c r="E19" s="3">
        <v>15.6</v>
      </c>
      <c r="F19" s="3">
        <f t="shared" si="0"/>
        <v>93.6</v>
      </c>
      <c r="G19" s="13">
        <v>31</v>
      </c>
    </row>
    <row r="20" spans="1:9" x14ac:dyDescent="0.3">
      <c r="A20" s="2">
        <v>18</v>
      </c>
      <c r="B20" s="4">
        <f>G20-3-4-3-3-3-3</f>
        <v>0</v>
      </c>
      <c r="C20" s="4" t="s">
        <v>35</v>
      </c>
      <c r="D20" s="2" t="s">
        <v>32</v>
      </c>
      <c r="E20" s="3">
        <v>15.6</v>
      </c>
      <c r="F20" s="3">
        <f t="shared" si="0"/>
        <v>0</v>
      </c>
      <c r="G20" s="13">
        <v>19</v>
      </c>
    </row>
    <row r="21" spans="1:9" x14ac:dyDescent="0.3">
      <c r="A21" s="2">
        <v>19</v>
      </c>
      <c r="B21" s="4">
        <f>G21-3-2-2-3-2-3-3-1-2-2-1</f>
        <v>0</v>
      </c>
      <c r="C21" s="4" t="s">
        <v>43</v>
      </c>
      <c r="D21" s="2" t="s">
        <v>33</v>
      </c>
      <c r="E21" s="3">
        <v>20.88</v>
      </c>
      <c r="F21" s="3">
        <f t="shared" si="0"/>
        <v>0</v>
      </c>
      <c r="G21" s="13">
        <v>24</v>
      </c>
    </row>
    <row r="22" spans="1:9" x14ac:dyDescent="0.3">
      <c r="A22" s="6" t="s">
        <v>2</v>
      </c>
      <c r="B22" s="11">
        <f>SUM(B3:B21)</f>
        <v>305</v>
      </c>
      <c r="C22" s="11"/>
      <c r="D22" s="6"/>
      <c r="E22" s="7"/>
      <c r="F22" s="7">
        <f>SUM(F3:F21)</f>
        <v>3711.6</v>
      </c>
    </row>
    <row r="23" spans="1:9" x14ac:dyDescent="0.3">
      <c r="A23" s="5"/>
      <c r="B23" s="5"/>
      <c r="C23" s="5"/>
      <c r="D23" s="5"/>
      <c r="E23" s="5"/>
      <c r="F23" s="5"/>
    </row>
    <row r="24" spans="1:9" x14ac:dyDescent="0.3">
      <c r="A24" s="5"/>
      <c r="B24" s="5"/>
      <c r="C24" s="5"/>
      <c r="D24" s="5"/>
    </row>
    <row r="25" spans="1:9" x14ac:dyDescent="0.3">
      <c r="A25" s="5"/>
      <c r="B25" s="5"/>
      <c r="C25" s="5"/>
      <c r="D25" s="5"/>
    </row>
    <row r="26" spans="1:9" x14ac:dyDescent="0.3">
      <c r="A26" s="5"/>
      <c r="B26" s="5"/>
      <c r="C26" s="5"/>
      <c r="D26" s="5"/>
    </row>
    <row r="27" spans="1:9" x14ac:dyDescent="0.3">
      <c r="A27" s="5"/>
      <c r="B27" s="5"/>
      <c r="C27" s="5"/>
      <c r="D27" s="5"/>
    </row>
    <row r="28" spans="1:9" x14ac:dyDescent="0.3">
      <c r="A28" s="5"/>
      <c r="B28" s="5"/>
      <c r="C28" s="5"/>
      <c r="D28" s="5"/>
    </row>
    <row r="29" spans="1:9" x14ac:dyDescent="0.3">
      <c r="A29" s="5"/>
      <c r="B29" s="5"/>
      <c r="C29" s="5"/>
      <c r="D29" s="5"/>
    </row>
  </sheetData>
  <mergeCells count="2">
    <mergeCell ref="A1:F1"/>
    <mergeCell ref="H7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8CCE-4296-4DDE-A40F-D96D6BC2A6DA}">
  <dimension ref="A1:L29"/>
  <sheetViews>
    <sheetView tabSelected="1" workbookViewId="0">
      <selection activeCell="H21" sqref="H21"/>
    </sheetView>
  </sheetViews>
  <sheetFormatPr baseColWidth="10" defaultRowHeight="14.4" x14ac:dyDescent="0.3"/>
  <cols>
    <col min="1" max="1" width="14.21875" customWidth="1"/>
    <col min="2" max="3" width="16.109375" customWidth="1"/>
    <col min="4" max="4" width="37.44140625" customWidth="1"/>
    <col min="5" max="5" width="16.5546875" customWidth="1"/>
    <col min="6" max="6" width="19.21875" customWidth="1"/>
    <col min="7" max="7" width="16.44140625" customWidth="1"/>
    <col min="8" max="8" width="16.33203125" customWidth="1"/>
    <col min="10" max="10" width="27.77734375" customWidth="1"/>
    <col min="11" max="11" width="14.6640625" customWidth="1"/>
  </cols>
  <sheetData>
    <row r="1" spans="1:12" x14ac:dyDescent="0.3">
      <c r="A1" s="17" t="s">
        <v>47</v>
      </c>
      <c r="B1" s="18"/>
      <c r="C1" s="18"/>
      <c r="D1" s="18"/>
      <c r="E1" s="18"/>
      <c r="F1" s="18"/>
      <c r="G1" s="18"/>
      <c r="H1" s="19"/>
    </row>
    <row r="2" spans="1:12" ht="26.4" x14ac:dyDescent="0.3">
      <c r="A2" s="1" t="s">
        <v>6</v>
      </c>
      <c r="B2" s="1" t="s">
        <v>7</v>
      </c>
      <c r="C2" s="1" t="s">
        <v>44</v>
      </c>
      <c r="D2" s="1" t="s">
        <v>8</v>
      </c>
      <c r="E2" s="1" t="s">
        <v>49</v>
      </c>
      <c r="F2" s="1" t="s">
        <v>48</v>
      </c>
      <c r="G2" s="1" t="s">
        <v>9</v>
      </c>
      <c r="H2" s="1" t="s">
        <v>10</v>
      </c>
    </row>
    <row r="3" spans="1:12" x14ac:dyDescent="0.3">
      <c r="A3" s="2">
        <v>1</v>
      </c>
      <c r="B3" s="13">
        <v>63</v>
      </c>
      <c r="C3" s="4" t="s">
        <v>35</v>
      </c>
      <c r="D3" s="2" t="s">
        <v>34</v>
      </c>
      <c r="E3" s="16">
        <v>25</v>
      </c>
      <c r="F3" s="13">
        <f>B3+E3</f>
        <v>88</v>
      </c>
      <c r="G3" s="3">
        <v>13.2</v>
      </c>
      <c r="H3" s="3">
        <f>IF(OR(F3="",G3=""),"",F3*G3)</f>
        <v>1161.5999999999999</v>
      </c>
      <c r="I3" s="13"/>
    </row>
    <row r="4" spans="1:12" x14ac:dyDescent="0.3">
      <c r="A4" s="2">
        <v>2</v>
      </c>
      <c r="B4" s="13">
        <v>16</v>
      </c>
      <c r="C4" s="4" t="s">
        <v>35</v>
      </c>
      <c r="D4" s="2" t="s">
        <v>18</v>
      </c>
      <c r="E4" s="16">
        <v>20</v>
      </c>
      <c r="F4" s="13">
        <f t="shared" ref="F4:F21" si="0">B4+E4</f>
        <v>36</v>
      </c>
      <c r="G4" s="3">
        <v>16.2</v>
      </c>
      <c r="H4" s="3">
        <f t="shared" ref="H4:H21" si="1">IF(OR(F4="",G4=""),"",F4*G4)</f>
        <v>583.19999999999993</v>
      </c>
      <c r="I4" s="13"/>
    </row>
    <row r="5" spans="1:12" x14ac:dyDescent="0.3">
      <c r="A5" s="2">
        <v>3</v>
      </c>
      <c r="B5" s="13">
        <v>12</v>
      </c>
      <c r="C5" s="4" t="s">
        <v>35</v>
      </c>
      <c r="D5" s="2" t="s">
        <v>19</v>
      </c>
      <c r="E5" s="16">
        <v>18</v>
      </c>
      <c r="F5" s="13">
        <f t="shared" si="0"/>
        <v>30</v>
      </c>
      <c r="G5" s="3">
        <v>14.4</v>
      </c>
      <c r="H5" s="3">
        <f t="shared" si="1"/>
        <v>432</v>
      </c>
      <c r="I5" s="13"/>
    </row>
    <row r="6" spans="1:12" x14ac:dyDescent="0.3">
      <c r="A6" s="2">
        <v>4</v>
      </c>
      <c r="B6" s="13">
        <v>34</v>
      </c>
      <c r="C6" s="4" t="s">
        <v>36</v>
      </c>
      <c r="D6" s="2" t="s">
        <v>17</v>
      </c>
      <c r="E6" s="16">
        <v>20</v>
      </c>
      <c r="F6" s="13">
        <f t="shared" si="0"/>
        <v>54</v>
      </c>
      <c r="G6" s="3">
        <v>11.4</v>
      </c>
      <c r="H6" s="3">
        <f t="shared" si="1"/>
        <v>615.6</v>
      </c>
      <c r="I6" s="13"/>
    </row>
    <row r="7" spans="1:12" x14ac:dyDescent="0.3">
      <c r="A7" s="2">
        <v>5</v>
      </c>
      <c r="B7" s="13">
        <v>5</v>
      </c>
      <c r="C7" s="4" t="s">
        <v>36</v>
      </c>
      <c r="D7" s="2" t="s">
        <v>20</v>
      </c>
      <c r="E7" s="16">
        <v>18</v>
      </c>
      <c r="F7" s="13">
        <f t="shared" si="0"/>
        <v>23</v>
      </c>
      <c r="G7" s="3">
        <v>12.6</v>
      </c>
      <c r="H7" s="3">
        <f t="shared" si="1"/>
        <v>289.8</v>
      </c>
      <c r="I7" s="13"/>
      <c r="J7" s="20" t="s">
        <v>11</v>
      </c>
      <c r="K7" s="20"/>
    </row>
    <row r="8" spans="1:12" x14ac:dyDescent="0.3">
      <c r="A8" s="2">
        <v>6</v>
      </c>
      <c r="B8" s="13">
        <v>45</v>
      </c>
      <c r="C8" s="4" t="s">
        <v>37</v>
      </c>
      <c r="D8" s="2" t="s">
        <v>17</v>
      </c>
      <c r="E8" s="16">
        <v>12</v>
      </c>
      <c r="F8" s="13">
        <f t="shared" si="0"/>
        <v>57</v>
      </c>
      <c r="G8" s="3">
        <v>12</v>
      </c>
      <c r="H8" s="3">
        <f t="shared" si="1"/>
        <v>684</v>
      </c>
      <c r="I8" s="13"/>
      <c r="J8" s="2" t="s">
        <v>12</v>
      </c>
      <c r="K8" s="4">
        <f>B22</f>
        <v>305</v>
      </c>
    </row>
    <row r="9" spans="1:12" x14ac:dyDescent="0.3">
      <c r="A9" s="2">
        <v>7</v>
      </c>
      <c r="B9" s="13">
        <v>23</v>
      </c>
      <c r="C9" s="4" t="s">
        <v>37</v>
      </c>
      <c r="D9" s="2" t="s">
        <v>21</v>
      </c>
      <c r="E9" s="16">
        <v>10</v>
      </c>
      <c r="F9" s="13">
        <f t="shared" si="0"/>
        <v>33</v>
      </c>
      <c r="G9" s="3">
        <v>10.8</v>
      </c>
      <c r="H9" s="3">
        <f t="shared" si="1"/>
        <v>356.40000000000003</v>
      </c>
      <c r="I9" s="13"/>
      <c r="J9" s="2" t="s">
        <v>13</v>
      </c>
      <c r="K9" s="4">
        <f>B22-K8</f>
        <v>0</v>
      </c>
    </row>
    <row r="10" spans="1:12" x14ac:dyDescent="0.3">
      <c r="A10" s="2">
        <v>8</v>
      </c>
      <c r="B10" s="13">
        <v>0</v>
      </c>
      <c r="C10" s="4" t="s">
        <v>35</v>
      </c>
      <c r="D10" s="2" t="s">
        <v>22</v>
      </c>
      <c r="E10" s="16">
        <v>17</v>
      </c>
      <c r="F10" s="13">
        <f t="shared" si="0"/>
        <v>17</v>
      </c>
      <c r="G10" s="3">
        <v>13.2</v>
      </c>
      <c r="H10" s="3">
        <f t="shared" si="1"/>
        <v>224.39999999999998</v>
      </c>
      <c r="I10" s="13"/>
      <c r="J10" s="2" t="s">
        <v>14</v>
      </c>
      <c r="K10" s="3">
        <f>H22</f>
        <v>8723.7599999999966</v>
      </c>
    </row>
    <row r="11" spans="1:12" x14ac:dyDescent="0.3">
      <c r="A11" s="2">
        <v>9</v>
      </c>
      <c r="B11" s="13">
        <v>0</v>
      </c>
      <c r="C11" s="4" t="s">
        <v>35</v>
      </c>
      <c r="D11" s="2" t="s">
        <v>23</v>
      </c>
      <c r="E11" s="16">
        <v>13</v>
      </c>
      <c r="F11" s="13">
        <f t="shared" si="0"/>
        <v>13</v>
      </c>
      <c r="G11" s="3">
        <v>13.2</v>
      </c>
      <c r="H11" s="3">
        <f t="shared" si="1"/>
        <v>171.6</v>
      </c>
      <c r="I11" s="13"/>
      <c r="J11" s="2" t="s">
        <v>15</v>
      </c>
      <c r="K11" s="12">
        <v>7109</v>
      </c>
    </row>
    <row r="12" spans="1:12" x14ac:dyDescent="0.3">
      <c r="A12" s="2">
        <v>10</v>
      </c>
      <c r="B12" s="13">
        <v>3</v>
      </c>
      <c r="C12" s="4" t="s">
        <v>38</v>
      </c>
      <c r="D12" s="2" t="s">
        <v>24</v>
      </c>
      <c r="E12" s="16">
        <v>20</v>
      </c>
      <c r="F12" s="13">
        <f t="shared" si="0"/>
        <v>23</v>
      </c>
      <c r="G12" s="3">
        <v>19.2</v>
      </c>
      <c r="H12" s="3">
        <f t="shared" si="1"/>
        <v>441.59999999999997</v>
      </c>
      <c r="I12" s="13"/>
      <c r="J12" s="6" t="s">
        <v>16</v>
      </c>
      <c r="K12" s="7">
        <f>SUM(K10:K11)</f>
        <v>15832.759999999997</v>
      </c>
    </row>
    <row r="13" spans="1:12" x14ac:dyDescent="0.3">
      <c r="A13" s="2">
        <v>11</v>
      </c>
      <c r="B13" s="13">
        <v>38</v>
      </c>
      <c r="C13" s="4" t="s">
        <v>38</v>
      </c>
      <c r="D13" s="2" t="s">
        <v>25</v>
      </c>
      <c r="E13" s="16">
        <v>17</v>
      </c>
      <c r="F13" s="13">
        <f t="shared" si="0"/>
        <v>55</v>
      </c>
      <c r="G13" s="3">
        <v>7.8</v>
      </c>
      <c r="H13" s="3">
        <f t="shared" si="1"/>
        <v>429</v>
      </c>
      <c r="I13" s="13"/>
    </row>
    <row r="14" spans="1:12" x14ac:dyDescent="0.3">
      <c r="A14" s="2">
        <v>12</v>
      </c>
      <c r="B14" s="13">
        <v>15</v>
      </c>
      <c r="C14" s="4" t="s">
        <v>39</v>
      </c>
      <c r="D14" s="2" t="s">
        <v>26</v>
      </c>
      <c r="E14" s="16">
        <v>15</v>
      </c>
      <c r="F14" s="13">
        <f t="shared" si="0"/>
        <v>30</v>
      </c>
      <c r="G14" s="3">
        <v>10.199999999999999</v>
      </c>
      <c r="H14" s="3">
        <f t="shared" si="1"/>
        <v>306</v>
      </c>
      <c r="I14" s="13"/>
      <c r="J14" s="14"/>
    </row>
    <row r="15" spans="1:12" x14ac:dyDescent="0.3">
      <c r="A15" s="2">
        <v>13</v>
      </c>
      <c r="B15" s="13">
        <v>0</v>
      </c>
      <c r="C15" s="4" t="s">
        <v>35</v>
      </c>
      <c r="D15" s="2" t="s">
        <v>27</v>
      </c>
      <c r="E15" s="16">
        <v>22</v>
      </c>
      <c r="F15" s="13">
        <f t="shared" si="0"/>
        <v>22</v>
      </c>
      <c r="G15" s="3">
        <v>13.2</v>
      </c>
      <c r="H15" s="3">
        <f t="shared" si="1"/>
        <v>290.39999999999998</v>
      </c>
      <c r="I15" s="13"/>
      <c r="K15" s="12"/>
      <c r="L15" s="12"/>
    </row>
    <row r="16" spans="1:12" x14ac:dyDescent="0.3">
      <c r="A16" s="2">
        <v>14</v>
      </c>
      <c r="B16" s="13">
        <v>37</v>
      </c>
      <c r="C16" s="4" t="s">
        <v>40</v>
      </c>
      <c r="D16" s="2" t="s">
        <v>28</v>
      </c>
      <c r="E16" s="16">
        <v>26</v>
      </c>
      <c r="F16" s="13">
        <f t="shared" si="0"/>
        <v>63</v>
      </c>
      <c r="G16" s="3">
        <v>13.2</v>
      </c>
      <c r="H16" s="3">
        <f t="shared" si="1"/>
        <v>831.59999999999991</v>
      </c>
      <c r="I16" s="13"/>
    </row>
    <row r="17" spans="1:11" x14ac:dyDescent="0.3">
      <c r="A17" s="2">
        <v>15</v>
      </c>
      <c r="B17" s="13">
        <v>0</v>
      </c>
      <c r="C17" s="4" t="s">
        <v>41</v>
      </c>
      <c r="D17" s="2" t="s">
        <v>29</v>
      </c>
      <c r="E17" s="16">
        <v>22</v>
      </c>
      <c r="F17" s="13">
        <f t="shared" si="0"/>
        <v>22</v>
      </c>
      <c r="G17" s="3">
        <v>25.2</v>
      </c>
      <c r="H17" s="3">
        <f t="shared" si="1"/>
        <v>554.4</v>
      </c>
      <c r="I17" s="13"/>
      <c r="K17" s="15"/>
    </row>
    <row r="18" spans="1:11" x14ac:dyDescent="0.3">
      <c r="A18" s="2">
        <v>16</v>
      </c>
      <c r="B18" s="13">
        <v>8</v>
      </c>
      <c r="C18" s="4" t="s">
        <v>35</v>
      </c>
      <c r="D18" s="2" t="s">
        <v>30</v>
      </c>
      <c r="E18" s="16">
        <v>20</v>
      </c>
      <c r="F18" s="13">
        <f t="shared" si="0"/>
        <v>28</v>
      </c>
      <c r="G18" s="3">
        <v>15</v>
      </c>
      <c r="H18" s="3">
        <f t="shared" si="1"/>
        <v>420</v>
      </c>
      <c r="I18" s="13"/>
    </row>
    <row r="19" spans="1:11" x14ac:dyDescent="0.3">
      <c r="A19" s="2">
        <v>17</v>
      </c>
      <c r="B19" s="13">
        <v>6</v>
      </c>
      <c r="C19" s="4" t="s">
        <v>42</v>
      </c>
      <c r="D19" s="2" t="s">
        <v>31</v>
      </c>
      <c r="E19" s="16">
        <v>18</v>
      </c>
      <c r="F19" s="13">
        <f t="shared" si="0"/>
        <v>24</v>
      </c>
      <c r="G19" s="3">
        <v>15.6</v>
      </c>
      <c r="H19" s="3">
        <f t="shared" si="1"/>
        <v>374.4</v>
      </c>
      <c r="I19" s="13"/>
    </row>
    <row r="20" spans="1:11" x14ac:dyDescent="0.3">
      <c r="A20" s="2">
        <v>18</v>
      </c>
      <c r="B20" s="13">
        <v>0</v>
      </c>
      <c r="C20" s="4" t="s">
        <v>35</v>
      </c>
      <c r="D20" s="2" t="s">
        <v>32</v>
      </c>
      <c r="E20" s="16">
        <v>13</v>
      </c>
      <c r="F20" s="13">
        <f t="shared" si="0"/>
        <v>13</v>
      </c>
      <c r="G20" s="3">
        <v>15.6</v>
      </c>
      <c r="H20" s="3">
        <f t="shared" si="1"/>
        <v>202.79999999999998</v>
      </c>
      <c r="I20" s="13"/>
    </row>
    <row r="21" spans="1:11" x14ac:dyDescent="0.3">
      <c r="A21" s="2">
        <v>19</v>
      </c>
      <c r="B21" s="13">
        <v>0</v>
      </c>
      <c r="C21" s="4" t="s">
        <v>43</v>
      </c>
      <c r="D21" s="2" t="s">
        <v>33</v>
      </c>
      <c r="E21" s="16">
        <v>17</v>
      </c>
      <c r="F21" s="13">
        <f t="shared" si="0"/>
        <v>17</v>
      </c>
      <c r="G21" s="3">
        <v>20.88</v>
      </c>
      <c r="H21" s="3">
        <f t="shared" si="1"/>
        <v>354.96</v>
      </c>
      <c r="I21" s="13"/>
    </row>
    <row r="22" spans="1:11" x14ac:dyDescent="0.3">
      <c r="A22" s="6" t="s">
        <v>2</v>
      </c>
      <c r="B22" s="11">
        <f>SUM(B3:B21)</f>
        <v>305</v>
      </c>
      <c r="C22" s="11"/>
      <c r="D22" s="6"/>
      <c r="E22" s="6">
        <f>SUM(E3:E21)</f>
        <v>343</v>
      </c>
      <c r="F22" s="11">
        <f>SUM(F3:F21)</f>
        <v>648</v>
      </c>
      <c r="G22" s="7"/>
      <c r="H22" s="7">
        <f>SUM(H3:H21)</f>
        <v>8723.7599999999966</v>
      </c>
    </row>
    <row r="23" spans="1:11" x14ac:dyDescent="0.3">
      <c r="A23" s="5"/>
      <c r="B23" s="5"/>
      <c r="C23" s="5"/>
      <c r="D23" s="5"/>
      <c r="E23" s="5"/>
      <c r="F23" s="5"/>
      <c r="G23" s="5"/>
      <c r="H23" s="5"/>
    </row>
    <row r="24" spans="1:11" x14ac:dyDescent="0.3">
      <c r="A24" s="5"/>
      <c r="B24" s="5"/>
      <c r="C24" s="5"/>
      <c r="D24" s="5"/>
      <c r="E24" s="5"/>
      <c r="F24" s="5"/>
    </row>
    <row r="25" spans="1:11" x14ac:dyDescent="0.3">
      <c r="A25" s="5"/>
      <c r="B25" s="5"/>
      <c r="C25" s="5"/>
      <c r="D25" s="5"/>
      <c r="E25" s="5"/>
      <c r="F25" s="5"/>
    </row>
    <row r="26" spans="1:11" x14ac:dyDescent="0.3">
      <c r="A26" s="5"/>
      <c r="B26" s="5"/>
      <c r="C26" s="5"/>
      <c r="D26" s="5"/>
      <c r="E26" s="5"/>
      <c r="F26" s="5"/>
    </row>
    <row r="27" spans="1:11" x14ac:dyDescent="0.3">
      <c r="A27" s="5"/>
      <c r="B27" s="5"/>
      <c r="C27" s="5"/>
      <c r="D27" s="5"/>
      <c r="E27" s="5"/>
      <c r="F27" s="5"/>
    </row>
    <row r="28" spans="1:11" x14ac:dyDescent="0.3">
      <c r="A28" s="5"/>
      <c r="B28" s="5"/>
      <c r="C28" s="5"/>
      <c r="D28" s="5"/>
      <c r="E28" s="5"/>
      <c r="F28" s="5"/>
    </row>
    <row r="29" spans="1:11" x14ac:dyDescent="0.3">
      <c r="A29" s="5"/>
      <c r="B29" s="5"/>
      <c r="C29" s="5"/>
      <c r="D29" s="5"/>
      <c r="E29" s="5"/>
      <c r="F29" s="5"/>
    </row>
  </sheetData>
  <mergeCells count="2">
    <mergeCell ref="A1:H1"/>
    <mergeCell ref="J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Facturas del día</vt:lpstr>
      <vt:lpstr>Inventario inicial</vt:lpstr>
      <vt:lpstr>inventario final sem 1</vt:lpstr>
      <vt:lpstr>Inventario inicial sem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Irania Chacon</dc:creator>
  <cp:lastModifiedBy>Alexis Santamaria</cp:lastModifiedBy>
  <dcterms:created xsi:type="dcterms:W3CDTF">2026-10-08T13:15:33Z</dcterms:created>
  <dcterms:modified xsi:type="dcterms:W3CDTF">2026-10-21T15:17:19Z</dcterms:modified>
</cp:coreProperties>
</file>